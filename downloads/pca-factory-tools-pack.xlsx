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b33c63d7524f49" /></Relationships>
</file>

<file path=xl/workbook.xml><?xml version="1.0" encoding="utf-8"?>
<x:workbook xmlns:x="http://schemas.openxmlformats.org/spreadsheetml/2006/main">
  <x:sheets>
    <x:sheet xmlns:r="http://schemas.openxmlformats.org/officeDocument/2006/relationships" name="Instructions" sheetId="1" r:id="Rc67a15b103fe4e93"/>
    <x:sheet xmlns:r="http://schemas.openxmlformats.org/officeDocument/2006/relationships" name="Accepted-Unit Costing" sheetId="2" r:id="Raea881d50b4d4324"/>
    <x:sheet xmlns:r="http://schemas.openxmlformats.org/officeDocument/2006/relationships" name="Batch Record" sheetId="3" r:id="R6d0c4768040a4c7a"/>
    <x:sheet xmlns:r="http://schemas.openxmlformats.org/officeDocument/2006/relationships" name="QC Log" sheetId="4" r:id="R597870fdde234678"/>
    <x:sheet xmlns:r="http://schemas.openxmlformats.org/officeDocument/2006/relationships" name="Curing Log" sheetId="5" r:id="R1f7ef6fc7c264f6f"/>
    <x:sheet xmlns:r="http://schemas.openxmlformats.org/officeDocument/2006/relationships" name="Downtime Log" sheetId="6" r:id="Rc1b41242424541a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
  </x:numFmts>
  <x:fonts count="6">
    <x:font>
      <x:sz val="11"/>
      <x:name val="Carlito"/>
    </x:font>
    <x:font>
      <x:b/>
      <x:sz val="18"/>
      <x:color rgb="FFFFFFFF"/>
      <x:name val="Carlito"/>
    </x:font>
    <x:font>
      <x:i/>
      <x:sz val="10"/>
      <x:color rgb="FF4B4B4B"/>
      <x:name val="Carlito"/>
    </x:font>
    <x:font>
      <x:b/>
      <x:sz val="11"/>
      <x:color rgb="FF0B2E1F"/>
      <x:name val="Carlito"/>
    </x:font>
    <x:font>
      <x:b/>
      <x:sz val="11"/>
      <x:color rgb="FF8A1C13"/>
      <x:name val="Carlito"/>
    </x:font>
    <x:font>
      <x:b/>
      <x:sz val="11"/>
      <x:color rgb="FFFFFFFF"/>
      <x:name val="Carlito"/>
    </x:font>
  </x:fonts>
  <x:fills count="8">
    <x:fill>
      <x:patternFill patternType="none"/>
    </x:fill>
    <x:fill>
      <x:patternFill patternType="gray125"/>
    </x:fill>
    <x:fill>
      <x:patternFill patternType="solid">
        <x:fgColor rgb="FF0B2E1F"/>
      </x:patternFill>
    </x:fill>
    <x:fill>
      <x:patternFill patternType="solid">
        <x:fgColor rgb="FFF7F5F0"/>
      </x:patternFill>
    </x:fill>
    <x:fill>
      <x:patternFill patternType="solid">
        <x:fgColor rgb="FFC4A35A"/>
      </x:patternFill>
    </x:fill>
    <x:fill>
      <x:patternFill patternType="solid">
        <x:fgColor rgb="FFFCE8E6"/>
      </x:patternFill>
    </x:fill>
    <x:fill>
      <x:patternFill patternType="solid">
        <x:fgColor rgb="FFFFFFFF"/>
      </x:patternFill>
    </x:fill>
    <x:fill>
      <x:patternFill patternType="solid">
        <x:fgColor rgb="FFFFF2CC"/>
      </x:patternFill>
    </x:fill>
  </x:fills>
  <x:borders count="10">
    <x:border/>
    <x:border>
      <x:left style="thin">
        <x:color rgb="FFE5E0D8"/>
      </x:left>
      <x:right style="thin">
        <x:color rgb="FFE5E0D8"/>
      </x:right>
      <x:top style="thin">
        <x:color rgb="FFE5E0D8"/>
      </x:top>
      <x:bottom style="thin">
        <x:color rgb="FFE5E0D8"/>
      </x:bottom>
    </x:border>
    <x:border>
      <x:left style="thin">
        <x:color rgb="FFE5E0D8"/>
      </x:left>
      <x:top style="thin">
        <x:color rgb="FFE5E0D8"/>
      </x:top>
    </x:border>
    <x:border>
      <x:top style="thin">
        <x:color rgb="FFE5E0D8"/>
      </x:top>
    </x:border>
    <x:border>
      <x:right style="thin">
        <x:color rgb="FFE5E0D8"/>
      </x:right>
      <x:top style="thin">
        <x:color rgb="FFE5E0D8"/>
      </x:top>
    </x:border>
    <x:border>
      <x:left style="thin">
        <x:color rgb="FFE5E0D8"/>
      </x:left>
    </x:border>
    <x:border>
      <x:right style="thin">
        <x:color rgb="FFE5E0D8"/>
      </x:right>
    </x:border>
    <x:border>
      <x:left style="thin">
        <x:color rgb="FFE5E0D8"/>
      </x:left>
      <x:bottom style="thin">
        <x:color rgb="FFE5E0D8"/>
      </x:bottom>
    </x:border>
    <x:border>
      <x:bottom style="thin">
        <x:color rgb="FFE5E0D8"/>
      </x:bottom>
    </x:border>
    <x:border>
      <x:right style="thin">
        <x:color rgb="FFE5E0D8"/>
      </x:right>
      <x:bottom style="thin">
        <x:color rgb="FFE5E0D8"/>
      </x:bottom>
    </x:border>
  </x:borders>
  <x:cellStyleXfs count="1">
    <x:xf numFmtId="0" fontId="0" fillId="0" borderId="0"/>
  </x:cellStyleXfs>
  <x:cellXfs count="8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0" fillId="6" borderId="2" xfId="0" applyNumberFormat="1" applyFont="1" applyFill="1" applyBorder="1"/>
    <x:xf numFmtId="0" fontId="0" fillId="6" borderId="3" xfId="0" applyNumberFormat="1" applyFont="1" applyFill="1" applyBorder="1"/>
    <x:xf numFmtId="0" fontId="0" fillId="6" borderId="4" xfId="0" applyNumberFormat="1" applyFont="1" applyFill="1" applyBorder="1"/>
    <x:xf numFmtId="0" fontId="0" fillId="6" borderId="5" xfId="0" applyNumberFormat="1" applyFont="1" applyFill="1" applyBorder="1"/>
    <x:xf numFmtId="0" fontId="0" fillId="6" borderId="6" xfId="0" applyNumberFormat="1" applyFont="1" applyFill="1" applyBorder="1"/>
    <x:xf numFmtId="0" fontId="0" fillId="6" borderId="7" xfId="0" applyNumberFormat="1" applyFont="1" applyFill="1" applyBorder="1"/>
    <x:xf numFmtId="0" fontId="0" fillId="6" borderId="8" xfId="0" applyNumberFormat="1" applyFont="1" applyFill="1" applyBorder="1"/>
    <x:xf numFmtId="0" fontId="0" fillId="6" borderId="9" xfId="0" applyNumberFormat="1" applyFont="1" applyFill="1" applyBorder="1"/>
    <x:xf numFmtId="0" fontId="0" fillId="6" borderId="2" xfId="0" applyNumberFormat="1" applyFont="1" applyFill="1" applyBorder="1" applyAlignment="1">
      <x:alignment wrapText="1"/>
    </x:xf>
    <x:xf numFmtId="0" fontId="0" fillId="6" borderId="3" xfId="0" applyNumberFormat="1" applyFont="1" applyFill="1" applyBorder="1" applyAlignment="1">
      <x:alignment wrapText="1"/>
    </x:xf>
    <x:xf numFmtId="0" fontId="0" fillId="6" borderId="4" xfId="0" applyNumberFormat="1" applyFont="1" applyFill="1" applyBorder="1" applyAlignment="1">
      <x:alignment wrapText="1"/>
    </x:xf>
    <x:xf numFmtId="0" fontId="0" fillId="6" borderId="5"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6" xfId="0" applyNumberFormat="1" applyFont="1" applyFill="1" applyBorder="1" applyAlignment="1">
      <x:alignment wrapText="1"/>
    </x:xf>
    <x:xf numFmtId="0" fontId="0" fillId="6" borderId="7" xfId="0" applyNumberFormat="1" applyFont="1" applyFill="1" applyBorder="1" applyAlignment="1">
      <x:alignment wrapText="1"/>
    </x:xf>
    <x:xf numFmtId="0" fontId="0" fillId="6" borderId="8" xfId="0" applyNumberFormat="1" applyFont="1" applyFill="1" applyBorder="1" applyAlignment="1">
      <x:alignment wrapText="1"/>
    </x:xf>
    <x:xf numFmtId="0" fontId="0" fillId="6" borderId="9" xfId="0" applyNumberFormat="1" applyFont="1" applyFill="1" applyBorder="1" applyAlignment="1">
      <x:alignment wrapText="1"/>
    </x:xf>
    <x:xf numFmtId="0" fontId="0" fillId="6" borderId="2" xfId="0" applyNumberFormat="1" applyFont="1" applyFill="1" applyBorder="1" applyAlignment="1">
      <x:alignment vertical="top" wrapText="1"/>
    </x:xf>
    <x:xf numFmtId="0" fontId="0" fillId="6" borderId="3" xfId="0" applyNumberFormat="1" applyFont="1" applyFill="1" applyBorder="1" applyAlignment="1">
      <x:alignment vertical="top" wrapText="1"/>
    </x:xf>
    <x:xf numFmtId="0" fontId="0" fillId="6" borderId="4" xfId="0" applyNumberFormat="1" applyFont="1" applyFill="1" applyBorder="1" applyAlignment="1">
      <x:alignment vertical="top" wrapText="1"/>
    </x:xf>
    <x:xf numFmtId="0" fontId="0" fillId="6" borderId="5"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6" xfId="0" applyNumberFormat="1" applyFont="1" applyFill="1" applyBorder="1" applyAlignment="1">
      <x:alignment vertical="top" wrapText="1"/>
    </x:xf>
    <x:xf numFmtId="0" fontId="0" fillId="6" borderId="7" xfId="0" applyNumberFormat="1" applyFont="1" applyFill="1" applyBorder="1" applyAlignment="1">
      <x:alignment vertical="top" wrapText="1"/>
    </x:xf>
    <x:xf numFmtId="0" fontId="0" fillId="6" borderId="8" xfId="0" applyNumberFormat="1" applyFont="1" applyFill="1" applyBorder="1" applyAlignment="1">
      <x:alignment vertical="top" wrapText="1"/>
    </x:xf>
    <x:xf numFmtId="0" fontId="0" fillId="6" borderId="9" xfId="0" applyNumberFormat="1" applyFont="1" applyFill="1" applyBorder="1" applyAlignment="1">
      <x:alignment vertical="top" wrapText="1"/>
    </x:xf>
    <x:xf numFmtId="0" fontId="0" fillId="7" borderId="0" xfId="0" applyNumberFormat="1" applyFont="1" applyFill="1" applyBorder="1"/>
    <x:xf numFmtId="200" fontId="0" fillId="7" borderId="0" xfId="0" applyNumberFormat="1" applyFont="1" applyFill="1" applyBorder="1"/>
    <x:xf numFmtId="0" fontId="5" fillId="2" borderId="0" xfId="0" applyNumberFormat="1" applyFont="1" applyFill="1" applyBorder="1"/>
    <x:xf numFmtId="0" fontId="0" fillId="3" borderId="2" xfId="0" applyNumberFormat="1" applyFont="1" applyFill="1" applyBorder="1"/>
    <x:xf numFmtId="0" fontId="0" fillId="3" borderId="3" xfId="0" applyNumberFormat="1" applyFont="1" applyFill="1" applyBorder="1"/>
    <x:xf numFmtId="0" fontId="0" fillId="3" borderId="4" xfId="0" applyNumberFormat="1" applyFont="1" applyFill="1" applyBorder="1"/>
    <x:xf numFmtId="0" fontId="0" fillId="3" borderId="5" xfId="0" applyNumberFormat="1" applyFont="1" applyFill="1" applyBorder="1"/>
    <x:xf numFmtId="0" fontId="0" fillId="3" borderId="6" xfId="0" applyNumberFormat="1" applyFont="1" applyFill="1" applyBorder="1"/>
    <x:xf numFmtId="0" fontId="0" fillId="3" borderId="7" xfId="0" applyNumberFormat="1" applyFont="1" applyFill="1" applyBorder="1"/>
    <x:xf numFmtId="0" fontId="0" fillId="3" borderId="8" xfId="0" applyNumberFormat="1" applyFont="1" applyFill="1" applyBorder="1"/>
    <x:xf numFmtId="0" fontId="0" fillId="3" borderId="9" xfId="0" applyNumberFormat="1" applyFont="1" applyFill="1" applyBorder="1"/>
    <x:xf numFmtId="0" fontId="0" fillId="3" borderId="2" xfId="0" applyNumberFormat="1" applyFont="1" applyFill="1" applyBorder="1" applyAlignment="1">
      <x:alignment wrapText="1"/>
    </x:xf>
    <x:xf numFmtId="0" fontId="0" fillId="3" borderId="3" xfId="0" applyNumberFormat="1" applyFont="1" applyFill="1" applyBorder="1" applyAlignment="1">
      <x:alignment wrapText="1"/>
    </x:xf>
    <x:xf numFmtId="0" fontId="0" fillId="3" borderId="4" xfId="0" applyNumberFormat="1" applyFont="1" applyFill="1" applyBorder="1" applyAlignment="1">
      <x:alignment wrapText="1"/>
    </x:xf>
    <x:xf numFmtId="0" fontId="0" fillId="3" borderId="5"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6" xfId="0" applyNumberFormat="1" applyFont="1" applyFill="1" applyBorder="1" applyAlignment="1">
      <x:alignment wrapText="1"/>
    </x:xf>
    <x:xf numFmtId="0" fontId="0" fillId="3" borderId="7" xfId="0" applyNumberFormat="1" applyFont="1" applyFill="1" applyBorder="1" applyAlignment="1">
      <x:alignment wrapText="1"/>
    </x:xf>
    <x:xf numFmtId="0" fontId="0" fillId="3" borderId="8" xfId="0" applyNumberFormat="1" applyFont="1" applyFill="1" applyBorder="1" applyAlignment="1">
      <x:alignment wrapText="1"/>
    </x:xf>
    <x:xf numFmtId="0" fontId="0" fillId="3" borderId="9" xfId="0" applyNumberFormat="1" applyFont="1" applyFill="1" applyBorder="1" applyAlignment="1">
      <x:alignment wrapText="1"/>
    </x:xf>
    <x:xf numFmtId="0" fontId="0" fillId="3" borderId="2" xfId="0" applyNumberFormat="1" applyFont="1" applyFill="1" applyBorder="1" applyAlignment="1">
      <x:alignment vertical="top" wrapText="1"/>
    </x:xf>
    <x:xf numFmtId="0" fontId="0" fillId="3" borderId="3" xfId="0" applyNumberFormat="1" applyFont="1" applyFill="1" applyBorder="1" applyAlignment="1">
      <x:alignment vertical="top" wrapText="1"/>
    </x:xf>
    <x:xf numFmtId="0" fontId="0" fillId="3" borderId="4" xfId="0" applyNumberFormat="1" applyFont="1" applyFill="1" applyBorder="1" applyAlignment="1">
      <x:alignment vertical="top" wrapText="1"/>
    </x:xf>
    <x:xf numFmtId="0" fontId="0" fillId="3" borderId="5"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6" xfId="0" applyNumberFormat="1" applyFont="1" applyFill="1" applyBorder="1" applyAlignment="1">
      <x:alignment vertical="top" wrapText="1"/>
    </x:xf>
    <x:xf numFmtId="0" fontId="0" fillId="3" borderId="7" xfId="0" applyNumberFormat="1" applyFont="1" applyFill="1" applyBorder="1" applyAlignment="1">
      <x:alignment vertical="top" wrapText="1"/>
    </x:xf>
    <x:xf numFmtId="0" fontId="0" fillId="3" borderId="8" xfId="0" applyNumberFormat="1" applyFont="1" applyFill="1" applyBorder="1" applyAlignment="1">
      <x:alignment vertical="top" wrapText="1"/>
    </x:xf>
    <x:xf numFmtId="0" fontId="0" fillId="3" borderId="9" xfId="0" applyNumberFormat="1" applyFont="1" applyFill="1" applyBorder="1" applyAlignment="1">
      <x:alignment vertical="top" wrapText="1"/>
    </x:xf>
    <x:xf numFmtId="0" fontId="0" fillId="7" borderId="1" xfId="0" applyNumberFormat="1" applyFont="1" applyFill="1" applyBorder="1"/>
    <x:xf numFmtId="200" fontId="0" fillId="7" borderId="1" xfId="0" applyNumberFormat="1" applyFont="1" applyFill="1" applyBorder="1"/>
    <x:xf numFmtId="0" fontId="5" fillId="2" borderId="1" xfId="0" applyNumberFormat="1" applyFont="1" applyFill="1" applyBorder="1"/>
    <x:xf numFmtId="0" fontId="0" fillId="7" borderId="1" xfId="0" applyNumberFormat="1" applyFont="1" applyFill="1" applyBorder="1" applyAlignment="1">
      <x:alignment vertical="center"/>
    </x:xf>
    <x:xf numFmtId="200" fontId="0" fillId="7" borderId="1" xfId="0" applyNumberFormat="1" applyFont="1" applyFill="1" applyBorder="1" applyAlignment="1">
      <x:alignment vertical="center"/>
    </x:xf>
    <x:xf numFmtId="0" fontId="5" fillId="2" borderId="1" xfId="0" applyNumberFormat="1" applyFont="1" applyFill="1" applyBorder="1" applyAlignment="1">
      <x:alignment vertical="center"/>
    </x:xf>
    <x:xf numFmtId="201" fontId="0" fillId="0" borderId="1" xfId="0" applyNumberFormat="1" applyFont="1" applyFill="1" applyBorder="1" applyAlignment="1">
      <x:alignment vertical="center"/>
    </x:xf>
    <x:xf numFmtId="201" fontId="5" fillId="2" borderId="1" xfId="0" applyNumberFormat="1" applyFont="1" applyFill="1" applyBorder="1" applyAlignment="1">
      <x:alignment vertical="center"/>
    </x:xf>
    <x:xf numFmtId="0" fontId="0" fillId="7"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6af74199a774d9b" /><Relationship Type="http://schemas.openxmlformats.org/officeDocument/2006/relationships/theme" Target="/xl/theme/theme1.xml" Id="Rf1ac7bddce8d41f0" /><Relationship Type="http://schemas.openxmlformats.org/officeDocument/2006/relationships/sharedStrings" Target="/xl/sharedStrings.xml" Id="Rb3fd4491fad94419" /><Relationship Type="http://schemas.openxmlformats.org/officeDocument/2006/relationships/worksheet" Target="/xl/worksheets/sheet1.xml" Id="Rc67a15b103fe4e93" /><Relationship Type="http://schemas.openxmlformats.org/officeDocument/2006/relationships/worksheet" Target="/xl/worksheets/sheet2.xml" Id="Raea881d50b4d4324" /><Relationship Type="http://schemas.openxmlformats.org/officeDocument/2006/relationships/worksheet" Target="/xl/worksheets/sheet3.xml" Id="R6d0c4768040a4c7a" /><Relationship Type="http://schemas.openxmlformats.org/officeDocument/2006/relationships/worksheet" Target="/xl/worksheets/sheet4.xml" Id="R597870fdde234678" /><Relationship Type="http://schemas.openxmlformats.org/officeDocument/2006/relationships/worksheet" Target="/xl/worksheets/sheet5.xml" Id="R1f7ef6fc7c264f6f" /><Relationship Type="http://schemas.openxmlformats.org/officeDocument/2006/relationships/worksheet" Target="/xl/worksheets/sheet6.xml" Id="Rc1b41242424541a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 hidden="0" customWidth="1"/>
    <x:col min="2" max="2" width="33" hidden="0" customWidth="1"/>
    <x:col min="3" max="3" width="21" hidden="0" customWidth="1"/>
    <x:col min="4" max="4" width="35" hidden="0" customWidth="1"/>
    <x:col min="5" max="5" width="21" hidden="0" customWidth="1"/>
    <x:col min="6" max="6" width="21" hidden="0" customWidth="1"/>
  </x:cols>
  <x:sheetData>
    <x:row r="1" ht="32" customHeight="1">
      <x:c r="A1" s="3" t="str">
        <x:v>PCA FACTORY TOOLS PACK</x:v>
      </x:c>
      <x:c r="B1" s="3"/>
      <x:c r="C1" s="3"/>
      <x:c r="D1" s="3"/>
      <x:c r="E1" s="3"/>
      <x:c r="F1" s="3"/>
    </x:row>
    <x:row r="2" ht="32" customHeight="1">
      <x:c r="A2" s="6" t="str">
        <x:v>Editable companion tools. Yellow cells are inputs. Figures supplied are illustrative only; replace with verified factory data.</x:v>
      </x:c>
      <x:c r="B2" s="6"/>
      <x:c r="C2" s="6"/>
      <x:c r="D2" s="6"/>
      <x:c r="E2" s="6"/>
      <x:c r="F2" s="6"/>
    </x:row>
    <x:row r="4">
      <x:c r="A4" s="11" t="str">
        <x:v>Tool</x:v>
      </x:c>
      <x:c r="B4" s="11" t="str">
        <x:v>Purpose</x:v>
      </x:c>
      <x:c r="C4" s="11" t="str">
        <x:v>Use frequency</x:v>
      </x:c>
      <x:c r="D4" s="11" t="str">
        <x:v>Control rule</x:v>
      </x:c>
      <x:c r="E4" s="11" t="str">
        <x:v>Owner</x:v>
      </x:c>
      <x:c r="F4" s="11" t="str">
        <x:v>Status</x:v>
      </x:c>
    </x:row>
    <x:row r="5">
      <x:c r="A5" s="13" t="str">
        <x:v>Accepted-Unit Costing</x:v>
      </x:c>
      <x:c r="B5" s="13" t="str">
        <x:v>Calculate total batch and accepted-unit cost</x:v>
      </x:c>
      <x:c r="C5" s="13" t="str">
        <x:v>Each cost review</x:v>
      </x:c>
      <x:c r="D5" s="13" t="str">
        <x:v>Count only released saleable units in accepted output</x:v>
      </x:c>
      <x:c r="E5" s="13" t="str">
        <x:v>Owner / Cost controller</x:v>
      </x:c>
      <x:c r="F5" s="13" t="str">
        <x:v>Ready</x:v>
      </x:c>
    </x:row>
    <x:row r="6">
      <x:c r="A6" s="13" t="str">
        <x:v>Batch Record</x:v>
      </x:c>
      <x:c r="B6" s="13" t="str">
        <x:v>Trace materials and machine settings to output</x:v>
      </x:c>
      <x:c r="C6" s="13" t="str">
        <x:v>Every batch</x:v>
      </x:c>
      <x:c r="D6" s="13" t="str">
        <x:v>One unique batch code; no retrospective rewriting</x:v>
      </x:c>
      <x:c r="E6" s="13" t="str">
        <x:v>Batcher / Supervisor</x:v>
      </x:c>
      <x:c r="F6" s="13" t="str">
        <x:v>Ready</x:v>
      </x:c>
    </x:row>
    <x:row r="7">
      <x:c r="A7" s="13" t="str">
        <x:v>QC Log</x:v>
      </x:c>
      <x:c r="B7" s="13" t="str">
        <x:v>Record inspection, tests and release status</x:v>
      </x:c>
      <x:c r="C7" s="13" t="str">
        <x:v>Each batch / lot</x:v>
      </x:c>
      <x:c r="D7" s="13" t="str">
        <x:v>Quarantine any failed or missing evidence</x:v>
      </x:c>
      <x:c r="E7" s="13" t="str">
        <x:v>QC Supervisor</x:v>
      </x:c>
      <x:c r="F7" s="13" t="str">
        <x:v>Ready</x:v>
      </x:c>
    </x:row>
    <x:row r="8">
      <x:c r="A8" s="13" t="str">
        <x:v>Curing Log</x:v>
      </x:c>
      <x:c r="B8" s="13" t="str">
        <x:v>Record curing exposure and interruptions</x:v>
      </x:c>
      <x:c r="C8" s="13" t="str">
        <x:v>Every curing lot</x:v>
      </x:c>
      <x:c r="D8" s="13" t="str">
        <x:v>Release only against approved evidence</x:v>
      </x:c>
      <x:c r="E8" s="13" t="str">
        <x:v>Curing attendant / QC</x:v>
      </x:c>
      <x:c r="F8" s="13" t="str">
        <x:v>Ready</x:v>
      </x:c>
    </x:row>
    <x:row r="9">
      <x:c r="A9" s="13" t="str">
        <x:v>Downtime Log</x:v>
      </x:c>
      <x:c r="B9" s="13" t="str">
        <x:v>Capture duration, cause and corrective action</x:v>
      </x:c>
      <x:c r="C9" s="13" t="str">
        <x:v>Every stop</x:v>
      </x:c>
      <x:c r="D9" s="13" t="str">
        <x:v>Use consistent loss codes; verify close-out</x:v>
      </x:c>
      <x:c r="E9" s="13" t="str">
        <x:v>Production / Maintenance</x:v>
      </x:c>
      <x:c r="F9" s="13" t="str">
        <x:v>Ready</x:v>
      </x:c>
    </x:row>
    <x:row r="11">
      <x:c r="A11" s="15" t="str">
        <x:v>SAFETY &amp; TECHNICAL BOUNDARY</x:v>
      </x:c>
      <x:c r="B11" s="15"/>
      <x:c r="C11" s="15"/>
      <x:c r="D11" s="15"/>
      <x:c r="E11" s="15"/>
      <x:c r="F11" s="15"/>
    </x:row>
    <x:row r="12">
      <x:c r="A12" s="34" t="str">
        <x:v>These tools support production control; they do not replace laboratory testing, engineering design, equipment instructions, project specifications, or locally applicable legal and standards requirements. Stop production where safety, traceability or release evidence is missing.</x:v>
      </x:c>
      <x:c r="B12" s="35"/>
      <x:c r="C12" s="35"/>
      <x:c r="D12" s="35"/>
      <x:c r="E12" s="35"/>
      <x:c r="F12" s="36"/>
    </x:row>
    <x:row r="13">
      <x:c r="A13" s="37"/>
      <x:c r="B13" s="38"/>
      <x:c r="C13" s="38"/>
      <x:c r="D13" s="38"/>
      <x:c r="E13" s="38"/>
      <x:c r="F13" s="39"/>
    </x:row>
    <x:row r="14">
      <x:c r="A14" s="40"/>
      <x:c r="B14" s="41"/>
      <x:c r="C14" s="41"/>
      <x:c r="D14" s="41"/>
      <x:c r="E14" s="41"/>
      <x:c r="F14" s="42"/>
    </x:row>
  </x:sheetData>
  <x:mergeCells>
    <x:mergeCell ref="A1:F1"/>
    <x:mergeCell ref="A2:F2"/>
    <x:mergeCell ref="A11:F11"/>
    <x:mergeCell ref="A12:F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2" hidden="0" customWidth="1"/>
    <x:col min="2" max="2" width="16" hidden="0" customWidth="1"/>
    <x:col min="3" max="3" width="16" hidden="0" customWidth="1"/>
    <x:col min="4" max="4" width="16" hidden="0" customWidth="1"/>
  </x:cols>
  <x:sheetData>
    <x:row r="1" ht="32" customHeight="1">
      <x:c r="A1" s="3" t="str">
        <x:v>ACCEPTED-UNIT COSTING CALCULATOR</x:v>
      </x:c>
      <x:c r="B1" s="3"/>
      <x:c r="C1" s="3"/>
      <x:c r="D1" s="3"/>
    </x:row>
    <x:row r="2" ht="32" customHeight="1">
      <x:c r="A2" s="6" t="str">
        <x:v>Enter verified batch inputs in yellow cells. Formulas calculate total batch cost and cost per accepted unit.</x:v>
      </x:c>
      <x:c r="B2" s="6"/>
      <x:c r="C2" s="6"/>
      <x:c r="D2" s="6"/>
    </x:row>
    <x:row r="4">
      <x:c r="A4" s="11" t="str">
        <x:v>Input / output</x:v>
      </x:c>
      <x:c r="B4" s="11" t="str">
        <x:v>Quantity</x:v>
      </x:c>
      <x:c r="C4" s="11" t="str">
        <x:v>Unit</x:v>
      </x:c>
      <x:c r="D4" s="11" t="str">
        <x:v>Value (KES)</x:v>
      </x:c>
    </x:row>
    <x:row r="5">
      <x:c r="A5" s="13" t="str">
        <x:v>Cement mass</x:v>
      </x:c>
      <x:c r="B5" s="75" t="n">
        <x:v>120</x:v>
      </x:c>
      <x:c r="C5" s="13" t="str">
        <x:v>kg</x:v>
      </x:c>
      <x:c r="D5" s="78" t="n">
        <x:f>B5*B6</x:f>
        <x:v>1800</x:v>
      </x:c>
    </x:row>
    <x:row r="6">
      <x:c r="A6" s="13" t="str">
        <x:v>Cement rate</x:v>
      </x:c>
      <x:c r="B6" s="75" t="n">
        <x:v>15</x:v>
      </x:c>
      <x:c r="C6" s="13" t="str">
        <x:v>KES/kg</x:v>
      </x:c>
      <x:c r="D6" s="78"/>
    </x:row>
    <x:row r="7">
      <x:c r="A7" s="13" t="str">
        <x:v>Aggregate mass</x:v>
      </x:c>
      <x:c r="B7" s="75" t="n">
        <x:v>900</x:v>
      </x:c>
      <x:c r="C7" s="13" t="str">
        <x:v>kg</x:v>
      </x:c>
      <x:c r="D7" s="78" t="n">
        <x:f>B7*B8</x:f>
        <x:v>2250</x:v>
      </x:c>
    </x:row>
    <x:row r="8">
      <x:c r="A8" s="13" t="str">
        <x:v>Aggregate rate</x:v>
      </x:c>
      <x:c r="B8" s="75" t="n">
        <x:v>2.5</x:v>
      </x:c>
      <x:c r="C8" s="13" t="str">
        <x:v>KES/kg</x:v>
      </x:c>
      <x:c r="D8" s="78"/>
    </x:row>
    <x:row r="9">
      <x:c r="A9" s="13" t="str">
        <x:v>Other materials</x:v>
      </x:c>
      <x:c r="B9" s="75" t="n">
        <x:v>150</x:v>
      </x:c>
      <x:c r="C9" s="13" t="str">
        <x:v>KES/batch</x:v>
      </x:c>
      <x:c r="D9" s="78" t="n">
        <x:f>B9</x:f>
        <x:v>150</x:v>
      </x:c>
    </x:row>
    <x:row r="10">
      <x:c r="A10" s="13" t="str">
        <x:v>Direct labour</x:v>
      </x:c>
      <x:c r="B10" s="75" t="n">
        <x:v>600</x:v>
      </x:c>
      <x:c r="C10" s="13" t="str">
        <x:v>KES/batch</x:v>
      </x:c>
      <x:c r="D10" s="78" t="n">
        <x:f>B10</x:f>
        <x:v>600</x:v>
      </x:c>
    </x:row>
    <x:row r="11">
      <x:c r="A11" s="13" t="str">
        <x:v>Energy</x:v>
      </x:c>
      <x:c r="B11" s="75" t="n">
        <x:v>250</x:v>
      </x:c>
      <x:c r="C11" s="13" t="str">
        <x:v>KES/batch</x:v>
      </x:c>
      <x:c r="D11" s="78" t="n">
        <x:f>B11</x:f>
        <x:v>250</x:v>
      </x:c>
    </x:row>
    <x:row r="12">
      <x:c r="A12" s="13" t="str">
        <x:v>Maintenance / mould allowance</x:v>
      </x:c>
      <x:c r="B12" s="75" t="n">
        <x:v>200</x:v>
      </x:c>
      <x:c r="C12" s="13" t="str">
        <x:v>KES/batch</x:v>
      </x:c>
      <x:c r="D12" s="78" t="n">
        <x:f>B12</x:f>
        <x:v>200</x:v>
      </x:c>
    </x:row>
    <x:row r="13">
      <x:c r="A13" s="13" t="str">
        <x:v>Allocated overhead</x:v>
      </x:c>
      <x:c r="B13" s="75" t="n">
        <x:v>350</x:v>
      </x:c>
      <x:c r="C13" s="13" t="str">
        <x:v>KES/batch</x:v>
      </x:c>
      <x:c r="D13" s="78" t="n">
        <x:f>B13</x:f>
        <x:v>350</x:v>
      </x:c>
    </x:row>
    <x:row r="14">
      <x:c r="A14" s="13" t="str">
        <x:v>Moulded units</x:v>
      </x:c>
      <x:c r="B14" s="75" t="n">
        <x:v>100</x:v>
      </x:c>
      <x:c r="C14" s="13" t="str">
        <x:v>units</x:v>
      </x:c>
      <x:c r="D14" s="78"/>
    </x:row>
    <x:row r="15">
      <x:c r="A15" s="13" t="str">
        <x:v>Rejected units</x:v>
      </x:c>
      <x:c r="B15" s="75" t="n">
        <x:v>4</x:v>
      </x:c>
      <x:c r="C15" s="13" t="str">
        <x:v>units</x:v>
      </x:c>
      <x:c r="D15" s="78"/>
    </x:row>
    <x:row r="16">
      <x:c r="A16" s="13" t="str">
        <x:v>Handling breakage</x:v>
      </x:c>
      <x:c r="B16" s="75" t="n">
        <x:v>2</x:v>
      </x:c>
      <x:c r="C16" s="13" t="str">
        <x:v>units</x:v>
      </x:c>
      <x:c r="D16" s="78"/>
    </x:row>
    <x:row r="17">
      <x:c r="A17" s="13" t="str">
        <x:v>Target markup</x:v>
      </x:c>
      <x:c r="B17" s="76" t="n">
        <x:v>0.25</x:v>
      </x:c>
      <x:c r="C17" s="13" t="str">
        <x:v>fraction</x:v>
      </x:c>
      <x:c r="D17" s="78"/>
    </x:row>
    <x:row r="18">
      <x:c r="A18" s="13" t="str">
        <x:v>Selling price per unit</x:v>
      </x:c>
      <x:c r="B18" s="75" t="n">
        <x:v>0</x:v>
      </x:c>
      <x:c r="C18" s="13" t="str">
        <x:v>KES/unit</x:v>
      </x:c>
      <x:c r="D18" s="78"/>
    </x:row>
    <x:row r="19">
      <x:c r="A19" s="13"/>
      <x:c r="B19" s="13"/>
      <x:c r="C19" s="13"/>
      <x:c r="D19" s="78"/>
    </x:row>
    <x:row r="20">
      <x:c r="A20" s="77" t="str">
        <x:v>Calculated result</x:v>
      </x:c>
      <x:c r="B20" s="77" t="str"/>
      <x:c r="C20" s="77" t="str"/>
      <x:c r="D20" s="79"/>
    </x:row>
    <x:row r="21">
      <x:c r="A21" s="13" t="str">
        <x:v>Accepted units</x:v>
      </x:c>
      <x:c r="B21" s="13" t="str"/>
      <x:c r="C21" s="13" t="str">
        <x:v>units</x:v>
      </x:c>
      <x:c r="D21" s="78" t="n">
        <x:f>MAX(0,B14-B15-B16)</x:f>
        <x:v>94</x:v>
      </x:c>
    </x:row>
    <x:row r="22">
      <x:c r="A22" s="13" t="str">
        <x:v>Total batch cost</x:v>
      </x:c>
      <x:c r="B22" s="13" t="str"/>
      <x:c r="C22" s="13" t="str">
        <x:v>KES</x:v>
      </x:c>
      <x:c r="D22" s="78" t="n">
        <x:f>SUM(D5,D7,D9:D13)</x:f>
        <x:v>5600</x:v>
      </x:c>
    </x:row>
    <x:row r="23">
      <x:c r="A23" s="13" t="str">
        <x:v>Cost per moulded unit</x:v>
      </x:c>
      <x:c r="B23" s="13" t="str"/>
      <x:c r="C23" s="13" t="str">
        <x:v>KES/unit</x:v>
      </x:c>
      <x:c r="D23" s="78" t="n">
        <x:f>IF(B14=0,0,D22/B14)</x:f>
        <x:v>56</x:v>
      </x:c>
    </x:row>
    <x:row r="24">
      <x:c r="A24" s="13" t="str">
        <x:v>Cost per accepted unit</x:v>
      </x:c>
      <x:c r="B24" s="13" t="str"/>
      <x:c r="C24" s="13" t="str">
        <x:v>KES/unit</x:v>
      </x:c>
      <x:c r="D24" s="78" t="n">
        <x:f>IF(D21=0,0,D22/D21)</x:f>
        <x:v>59.57446808510638</x:v>
      </x:c>
    </x:row>
    <x:row r="25">
      <x:c r="A25" s="13" t="str">
        <x:v>Illustrative minimum price</x:v>
      </x:c>
      <x:c r="B25" s="13" t="str"/>
      <x:c r="C25" s="13" t="str">
        <x:v>KES/unit</x:v>
      </x:c>
      <x:c r="D25" s="78" t="n">
        <x:f>D24*(1+B17)</x:f>
        <x:v>74.46808510638297</x:v>
      </x:c>
    </x:row>
    <x:row r="27">
      <x:c r="A27" s="63" t="str">
        <x:v>Illustrative inputs are not quotations or recommended mix quantities. Replace every yellow value with current supplier, labour, utility and production records. Compare the calculator output with market evidence, taxes, delivery risk, credit terms and required margin before pricing.</x:v>
      </x:c>
      <x:c r="B27" s="64"/>
      <x:c r="C27" s="64"/>
      <x:c r="D27" s="65"/>
    </x:row>
    <x:row r="28">
      <x:c r="A28" s="66"/>
      <x:c r="B28" s="67"/>
      <x:c r="C28" s="67"/>
      <x:c r="D28" s="68"/>
    </x:row>
    <x:row r="29">
      <x:c r="A29" s="69"/>
      <x:c r="B29" s="70"/>
      <x:c r="C29" s="70"/>
      <x:c r="D29" s="71"/>
    </x:row>
  </x:sheetData>
  <x:mergeCells>
    <x:mergeCell ref="A1:D1"/>
    <x:mergeCell ref="A2:D2"/>
    <x:mergeCell ref="A27:D29"/>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0" hidden="0" customWidth="1"/>
    <x:col min="3" max="3" width="18" hidden="0" customWidth="1"/>
    <x:col min="4" max="4" width="18"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28" hidden="0" customWidth="1"/>
  </x:cols>
  <x:sheetData>
    <x:row r="1" ht="32" customHeight="1">
      <x:c r="A1" s="3" t="str">
        <x:v>DAILY BATCH RECORD</x:v>
      </x:c>
      <x:c r="B1" s="3"/>
      <x:c r="C1" s="3"/>
      <x:c r="D1" s="3"/>
      <x:c r="E1" s="3"/>
      <x:c r="F1" s="3"/>
      <x:c r="G1" s="3"/>
      <x:c r="H1" s="3"/>
      <x:c r="I1" s="3"/>
      <x:c r="J1" s="3"/>
      <x:c r="K1" s="3"/>
      <x:c r="L1" s="3"/>
    </x:row>
    <x:row r="2" ht="32" customHeight="1">
      <x:c r="A2" s="6" t="str">
        <x:v>Complete at the time of batching. Do not reconstruct missing data after production.</x:v>
      </x:c>
      <x:c r="B2" s="6"/>
      <x:c r="C2" s="6"/>
      <x:c r="D2" s="6"/>
      <x:c r="E2" s="6"/>
      <x:c r="F2" s="6"/>
      <x:c r="G2" s="6"/>
      <x:c r="H2" s="6"/>
      <x:c r="I2" s="6"/>
      <x:c r="J2" s="6"/>
      <x:c r="K2" s="6"/>
      <x:c r="L2" s="6"/>
    </x:row>
    <x:row r="4" ht="29" customHeight="1">
      <x:c r="A4" s="11" t="str">
        <x:v>Date</x:v>
      </x:c>
      <x:c r="B4" s="11" t="str">
        <x:v>Time</x:v>
      </x:c>
      <x:c r="C4" s="11" t="str">
        <x:v>Batch code</x:v>
      </x:c>
      <x:c r="D4" s="11" t="str">
        <x:v>Product / mould</x:v>
      </x:c>
      <x:c r="E4" s="11" t="str">
        <x:v>Cement kg</x:v>
      </x:c>
      <x:c r="F4" s="11" t="str">
        <x:v>Aggregate 1 kg</x:v>
      </x:c>
      <x:c r="G4" s="11" t="str">
        <x:v>Aggregate 2 kg</x:v>
      </x:c>
      <x:c r="H4" s="11" t="str">
        <x:v>Moisture %</x:v>
      </x:c>
      <x:c r="I4" s="11" t="str">
        <x:v>Water added L</x:v>
      </x:c>
      <x:c r="J4" s="11" t="str">
        <x:v>Admixture</x:v>
      </x:c>
      <x:c r="K4" s="11" t="str">
        <x:v>Machine setting</x:v>
      </x:c>
      <x:c r="L4" s="11" t="str">
        <x:v>Operator / remarks</x:v>
      </x:c>
    </x:row>
    <x:row r="5" ht="29" customHeight="1">
      <x:c r="A5" s="80" t="str"/>
      <x:c r="B5" s="75" t="str"/>
      <x:c r="C5" s="75" t="str"/>
      <x:c r="D5" s="75" t="str"/>
      <x:c r="E5" s="75" t="str"/>
      <x:c r="F5" s="75" t="str"/>
      <x:c r="G5" s="75" t="str"/>
      <x:c r="H5" s="75" t="str"/>
      <x:c r="I5" s="75" t="str"/>
      <x:c r="J5" s="75" t="str"/>
      <x:c r="K5" s="75" t="str"/>
      <x:c r="L5" s="13" t="str"/>
    </x:row>
    <x:row r="6" ht="29" customHeight="1">
      <x:c r="A6" s="80" t="str"/>
      <x:c r="B6" s="75" t="str"/>
      <x:c r="C6" s="75" t="str"/>
      <x:c r="D6" s="75" t="str"/>
      <x:c r="E6" s="75" t="str"/>
      <x:c r="F6" s="75" t="str"/>
      <x:c r="G6" s="75" t="str"/>
      <x:c r="H6" s="75" t="str"/>
      <x:c r="I6" s="75" t="str"/>
      <x:c r="J6" s="75" t="str"/>
      <x:c r="K6" s="75" t="str"/>
      <x:c r="L6" s="13" t="str"/>
    </x:row>
    <x:row r="7" ht="29" customHeight="1">
      <x:c r="A7" s="80" t="str"/>
      <x:c r="B7" s="75" t="str"/>
      <x:c r="C7" s="75" t="str"/>
      <x:c r="D7" s="75" t="str"/>
      <x:c r="E7" s="75" t="str"/>
      <x:c r="F7" s="75" t="str"/>
      <x:c r="G7" s="75" t="str"/>
      <x:c r="H7" s="75" t="str"/>
      <x:c r="I7" s="75" t="str"/>
      <x:c r="J7" s="75" t="str"/>
      <x:c r="K7" s="75" t="str"/>
      <x:c r="L7" s="13" t="str"/>
    </x:row>
    <x:row r="8" ht="29" customHeight="1">
      <x:c r="A8" s="80" t="str"/>
      <x:c r="B8" s="75" t="str"/>
      <x:c r="C8" s="75" t="str"/>
      <x:c r="D8" s="75" t="str"/>
      <x:c r="E8" s="75" t="str"/>
      <x:c r="F8" s="75" t="str"/>
      <x:c r="G8" s="75" t="str"/>
      <x:c r="H8" s="75" t="str"/>
      <x:c r="I8" s="75" t="str"/>
      <x:c r="J8" s="75" t="str"/>
      <x:c r="K8" s="75" t="str"/>
      <x:c r="L8" s="13" t="str"/>
    </x:row>
    <x:row r="9" ht="29" customHeight="1">
      <x:c r="A9" s="80" t="str"/>
      <x:c r="B9" s="75" t="str"/>
      <x:c r="C9" s="75" t="str"/>
      <x:c r="D9" s="75" t="str"/>
      <x:c r="E9" s="75" t="str"/>
      <x:c r="F9" s="75" t="str"/>
      <x:c r="G9" s="75" t="str"/>
      <x:c r="H9" s="75" t="str"/>
      <x:c r="I9" s="75" t="str"/>
      <x:c r="J9" s="75" t="str"/>
      <x:c r="K9" s="75" t="str"/>
      <x:c r="L9" s="13" t="str"/>
    </x:row>
    <x:row r="10" ht="29" customHeight="1">
      <x:c r="A10" s="80" t="str"/>
      <x:c r="B10" s="75" t="str"/>
      <x:c r="C10" s="75" t="str"/>
      <x:c r="D10" s="75" t="str"/>
      <x:c r="E10" s="75" t="str"/>
      <x:c r="F10" s="75" t="str"/>
      <x:c r="G10" s="75" t="str"/>
      <x:c r="H10" s="75" t="str"/>
      <x:c r="I10" s="75" t="str"/>
      <x:c r="J10" s="75" t="str"/>
      <x:c r="K10" s="75" t="str"/>
      <x:c r="L10" s="13" t="str"/>
    </x:row>
    <x:row r="11" ht="29" customHeight="1">
      <x:c r="A11" s="80" t="str"/>
      <x:c r="B11" s="75" t="str"/>
      <x:c r="C11" s="75" t="str"/>
      <x:c r="D11" s="75" t="str"/>
      <x:c r="E11" s="75" t="str"/>
      <x:c r="F11" s="75" t="str"/>
      <x:c r="G11" s="75" t="str"/>
      <x:c r="H11" s="75" t="str"/>
      <x:c r="I11" s="75" t="str"/>
      <x:c r="J11" s="75" t="str"/>
      <x:c r="K11" s="75" t="str"/>
      <x:c r="L11" s="13" t="str"/>
    </x:row>
    <x:row r="12" ht="29" customHeight="1">
      <x:c r="A12" s="80" t="str"/>
      <x:c r="B12" s="75" t="str"/>
      <x:c r="C12" s="75" t="str"/>
      <x:c r="D12" s="75" t="str"/>
      <x:c r="E12" s="75" t="str"/>
      <x:c r="F12" s="75" t="str"/>
      <x:c r="G12" s="75" t="str"/>
      <x:c r="H12" s="75" t="str"/>
      <x:c r="I12" s="75" t="str"/>
      <x:c r="J12" s="75" t="str"/>
      <x:c r="K12" s="75" t="str"/>
      <x:c r="L12" s="13" t="str"/>
    </x:row>
    <x:row r="13" ht="29" customHeight="1">
      <x:c r="A13" s="80" t="str"/>
      <x:c r="B13" s="75" t="str"/>
      <x:c r="C13" s="75" t="str"/>
      <x:c r="D13" s="75" t="str"/>
      <x:c r="E13" s="75" t="str"/>
      <x:c r="F13" s="75" t="str"/>
      <x:c r="G13" s="75" t="str"/>
      <x:c r="H13" s="75" t="str"/>
      <x:c r="I13" s="75" t="str"/>
      <x:c r="J13" s="75" t="str"/>
      <x:c r="K13" s="75" t="str"/>
      <x:c r="L13" s="13" t="str"/>
    </x:row>
    <x:row r="14" ht="29" customHeight="1">
      <x:c r="A14" s="80" t="str"/>
      <x:c r="B14" s="75" t="str"/>
      <x:c r="C14" s="75" t="str"/>
      <x:c r="D14" s="75" t="str"/>
      <x:c r="E14" s="75" t="str"/>
      <x:c r="F14" s="75" t="str"/>
      <x:c r="G14" s="75" t="str"/>
      <x:c r="H14" s="75" t="str"/>
      <x:c r="I14" s="75" t="str"/>
      <x:c r="J14" s="75" t="str"/>
      <x:c r="K14" s="75" t="str"/>
      <x:c r="L14" s="13" t="str"/>
    </x:row>
    <x:row r="15" ht="29" customHeight="1">
      <x:c r="A15" s="80" t="str"/>
      <x:c r="B15" s="75" t="str"/>
      <x:c r="C15" s="75" t="str"/>
      <x:c r="D15" s="75" t="str"/>
      <x:c r="E15" s="75" t="str"/>
      <x:c r="F15" s="75" t="str"/>
      <x:c r="G15" s="75" t="str"/>
      <x:c r="H15" s="75" t="str"/>
      <x:c r="I15" s="75" t="str"/>
      <x:c r="J15" s="75" t="str"/>
      <x:c r="K15" s="75" t="str"/>
      <x:c r="L15" s="13" t="str"/>
    </x:row>
    <x:row r="16" ht="29" customHeight="1">
      <x:c r="A16" s="80" t="str"/>
      <x:c r="B16" s="75" t="str"/>
      <x:c r="C16" s="75" t="str"/>
      <x:c r="D16" s="75" t="str"/>
      <x:c r="E16" s="75" t="str"/>
      <x:c r="F16" s="75" t="str"/>
      <x:c r="G16" s="75" t="str"/>
      <x:c r="H16" s="75" t="str"/>
      <x:c r="I16" s="75" t="str"/>
      <x:c r="J16" s="75" t="str"/>
      <x:c r="K16" s="75" t="str"/>
      <x:c r="L16" s="13" t="str"/>
    </x:row>
  </x:sheetData>
  <x:mergeCells>
    <x:mergeCell ref="A1:L1"/>
    <x:mergeCell ref="A2:L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18"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7" hidden="0" customWidth="1"/>
    <x:col min="11" max="11" width="17" hidden="0" customWidth="1"/>
    <x:col min="12" max="12" width="17" hidden="0" customWidth="1"/>
  </x:cols>
  <x:sheetData>
    <x:row r="1" ht="32" customHeight="1">
      <x:c r="A1" s="3" t="str">
        <x:v>QUALITY-CONTROL &amp; RELEASE LOG</x:v>
      </x:c>
      <x:c r="B1" s="3"/>
      <x:c r="C1" s="3"/>
      <x:c r="D1" s="3"/>
      <x:c r="E1" s="3"/>
      <x:c r="F1" s="3"/>
      <x:c r="G1" s="3"/>
      <x:c r="H1" s="3"/>
      <x:c r="I1" s="3"/>
      <x:c r="J1" s="3"/>
      <x:c r="K1" s="3"/>
      <x:c r="L1" s="3"/>
    </x:row>
    <x:row r="2" ht="32" customHeight="1">
      <x:c r="A2" s="6" t="str">
        <x:v>Record specified checks and evidence. “Pass” is valid only when the referenced acceptance criterion is verified.</x:v>
      </x:c>
      <x:c r="B2" s="6"/>
      <x:c r="C2" s="6"/>
      <x:c r="D2" s="6"/>
      <x:c r="E2" s="6"/>
      <x:c r="F2" s="6"/>
      <x:c r="G2" s="6"/>
      <x:c r="H2" s="6"/>
      <x:c r="I2" s="6"/>
      <x:c r="J2" s="6"/>
      <x:c r="K2" s="6"/>
      <x:c r="L2" s="6"/>
    </x:row>
    <x:row r="4" ht="29" customHeight="1">
      <x:c r="A4" s="11" t="str">
        <x:v>Date</x:v>
      </x:c>
      <x:c r="B4" s="11" t="str">
        <x:v>Batch / lot</x:v>
      </x:c>
      <x:c r="C4" s="11" t="str">
        <x:v>Product</x:v>
      </x:c>
      <x:c r="D4" s="11" t="str">
        <x:v>Dimensions</x:v>
      </x:c>
      <x:c r="E4" s="11" t="str">
        <x:v>Appearance</x:v>
      </x:c>
      <x:c r="F4" s="11" t="str">
        <x:v>Fresh / green density</x:v>
      </x:c>
      <x:c r="G4" s="11" t="str">
        <x:v>Cured density</x:v>
      </x:c>
      <x:c r="H4" s="11" t="str">
        <x:v>Absorption</x:v>
      </x:c>
      <x:c r="I4" s="11" t="str">
        <x:v>Strength / test ref</x:v>
      </x:c>
      <x:c r="J4" s="11" t="str">
        <x:v>Status</x:v>
      </x:c>
      <x:c r="K4" s="11" t="str">
        <x:v>Nonconformance ref</x:v>
      </x:c>
      <x:c r="L4" s="11" t="str">
        <x:v>QC sign-off</x:v>
      </x:c>
    </x:row>
    <x:row r="5" ht="29" customHeight="1">
      <x:c r="A5" s="80" t="str"/>
      <x:c r="B5" s="75" t="str"/>
      <x:c r="C5" s="75" t="str"/>
      <x:c r="D5" s="75" t="str"/>
      <x:c r="E5" s="75" t="str"/>
      <x:c r="F5" s="75" t="str"/>
      <x:c r="G5" s="75" t="str"/>
      <x:c r="H5" s="75" t="str"/>
      <x:c r="I5" s="75" t="str"/>
      <x:c r="J5" s="75" t="str"/>
      <x:c r="K5" s="75" t="str"/>
      <x:c r="L5" s="75" t="str"/>
    </x:row>
    <x:row r="6" ht="29" customHeight="1">
      <x:c r="A6" s="80" t="str"/>
      <x:c r="B6" s="75" t="str"/>
      <x:c r="C6" s="75" t="str"/>
      <x:c r="D6" s="75" t="str"/>
      <x:c r="E6" s="75" t="str"/>
      <x:c r="F6" s="75" t="str"/>
      <x:c r="G6" s="75" t="str"/>
      <x:c r="H6" s="75" t="str"/>
      <x:c r="I6" s="75" t="str"/>
      <x:c r="J6" s="75" t="str"/>
      <x:c r="K6" s="75" t="str"/>
      <x:c r="L6" s="75" t="str"/>
    </x:row>
    <x:row r="7" ht="29" customHeight="1">
      <x:c r="A7" s="80" t="str"/>
      <x:c r="B7" s="75" t="str"/>
      <x:c r="C7" s="75" t="str"/>
      <x:c r="D7" s="75" t="str"/>
      <x:c r="E7" s="75" t="str"/>
      <x:c r="F7" s="75" t="str"/>
      <x:c r="G7" s="75" t="str"/>
      <x:c r="H7" s="75" t="str"/>
      <x:c r="I7" s="75" t="str"/>
      <x:c r="J7" s="75" t="str"/>
      <x:c r="K7" s="75" t="str"/>
      <x:c r="L7" s="75" t="str"/>
    </x:row>
    <x:row r="8" ht="29" customHeight="1">
      <x:c r="A8" s="80" t="str"/>
      <x:c r="B8" s="75" t="str"/>
      <x:c r="C8" s="75" t="str"/>
      <x:c r="D8" s="75" t="str"/>
      <x:c r="E8" s="75" t="str"/>
      <x:c r="F8" s="75" t="str"/>
      <x:c r="G8" s="75" t="str"/>
      <x:c r="H8" s="75" t="str"/>
      <x:c r="I8" s="75" t="str"/>
      <x:c r="J8" s="75" t="str"/>
      <x:c r="K8" s="75" t="str"/>
      <x:c r="L8" s="75" t="str"/>
    </x:row>
    <x:row r="9" ht="29" customHeight="1">
      <x:c r="A9" s="80" t="str"/>
      <x:c r="B9" s="75" t="str"/>
      <x:c r="C9" s="75" t="str"/>
      <x:c r="D9" s="75" t="str"/>
      <x:c r="E9" s="75" t="str"/>
      <x:c r="F9" s="75" t="str"/>
      <x:c r="G9" s="75" t="str"/>
      <x:c r="H9" s="75" t="str"/>
      <x:c r="I9" s="75" t="str"/>
      <x:c r="J9" s="75" t="str"/>
      <x:c r="K9" s="75" t="str"/>
      <x:c r="L9" s="75" t="str"/>
    </x:row>
    <x:row r="10" ht="29" customHeight="1">
      <x:c r="A10" s="80" t="str"/>
      <x:c r="B10" s="75" t="str"/>
      <x:c r="C10" s="75" t="str"/>
      <x:c r="D10" s="75" t="str"/>
      <x:c r="E10" s="75" t="str"/>
      <x:c r="F10" s="75" t="str"/>
      <x:c r="G10" s="75" t="str"/>
      <x:c r="H10" s="75" t="str"/>
      <x:c r="I10" s="75" t="str"/>
      <x:c r="J10" s="75" t="str"/>
      <x:c r="K10" s="75" t="str"/>
      <x:c r="L10" s="75" t="str"/>
    </x:row>
    <x:row r="11" ht="29" customHeight="1">
      <x:c r="A11" s="80" t="str"/>
      <x:c r="B11" s="75" t="str"/>
      <x:c r="C11" s="75" t="str"/>
      <x:c r="D11" s="75" t="str"/>
      <x:c r="E11" s="75" t="str"/>
      <x:c r="F11" s="75" t="str"/>
      <x:c r="G11" s="75" t="str"/>
      <x:c r="H11" s="75" t="str"/>
      <x:c r="I11" s="75" t="str"/>
      <x:c r="J11" s="75" t="str"/>
      <x:c r="K11" s="75" t="str"/>
      <x:c r="L11" s="75" t="str"/>
    </x:row>
    <x:row r="12" ht="29" customHeight="1">
      <x:c r="A12" s="80" t="str"/>
      <x:c r="B12" s="75" t="str"/>
      <x:c r="C12" s="75" t="str"/>
      <x:c r="D12" s="75" t="str"/>
      <x:c r="E12" s="75" t="str"/>
      <x:c r="F12" s="75" t="str"/>
      <x:c r="G12" s="75" t="str"/>
      <x:c r="H12" s="75" t="str"/>
      <x:c r="I12" s="75" t="str"/>
      <x:c r="J12" s="75" t="str"/>
      <x:c r="K12" s="75" t="str"/>
      <x:c r="L12" s="75" t="str"/>
    </x:row>
    <x:row r="13" ht="29" customHeight="1">
      <x:c r="A13" s="80" t="str"/>
      <x:c r="B13" s="75" t="str"/>
      <x:c r="C13" s="75" t="str"/>
      <x:c r="D13" s="75" t="str"/>
      <x:c r="E13" s="75" t="str"/>
      <x:c r="F13" s="75" t="str"/>
      <x:c r="G13" s="75" t="str"/>
      <x:c r="H13" s="75" t="str"/>
      <x:c r="I13" s="75" t="str"/>
      <x:c r="J13" s="75" t="str"/>
      <x:c r="K13" s="75" t="str"/>
      <x:c r="L13" s="75" t="str"/>
    </x:row>
    <x:row r="14" ht="29" customHeight="1">
      <x:c r="A14" s="80" t="str"/>
      <x:c r="B14" s="75" t="str"/>
      <x:c r="C14" s="75" t="str"/>
      <x:c r="D14" s="75" t="str"/>
      <x:c r="E14" s="75" t="str"/>
      <x:c r="F14" s="75" t="str"/>
      <x:c r="G14" s="75" t="str"/>
      <x:c r="H14" s="75" t="str"/>
      <x:c r="I14" s="75" t="str"/>
      <x:c r="J14" s="75" t="str"/>
      <x:c r="K14" s="75" t="str"/>
      <x:c r="L14" s="75" t="str"/>
    </x:row>
    <x:row r="15" ht="29" customHeight="1">
      <x:c r="A15" s="80" t="str"/>
      <x:c r="B15" s="75" t="str"/>
      <x:c r="C15" s="75" t="str"/>
      <x:c r="D15" s="75" t="str"/>
      <x:c r="E15" s="75" t="str"/>
      <x:c r="F15" s="75" t="str"/>
      <x:c r="G15" s="75" t="str"/>
      <x:c r="H15" s="75" t="str"/>
      <x:c r="I15" s="75" t="str"/>
      <x:c r="J15" s="75" t="str"/>
      <x:c r="K15" s="75" t="str"/>
      <x:c r="L15" s="75" t="str"/>
    </x:row>
    <x:row r="16" ht="29" customHeight="1">
      <x:c r="A16" s="80" t="str"/>
      <x:c r="B16" s="75" t="str"/>
      <x:c r="C16" s="75" t="str"/>
      <x:c r="D16" s="75" t="str"/>
      <x:c r="E16" s="75" t="str"/>
      <x:c r="F16" s="75" t="str"/>
      <x:c r="G16" s="75" t="str"/>
      <x:c r="H16" s="75" t="str"/>
      <x:c r="I16" s="75" t="str"/>
      <x:c r="J16" s="75" t="str"/>
      <x:c r="K16" s="75" t="str"/>
      <x:c r="L16" s="75" t="str"/>
    </x:row>
  </x:sheetData>
  <x:mergeCells>
    <x:mergeCell ref="A1:L1"/>
    <x:mergeCell ref="A2:L2"/>
  </x:mergeCells>
  <x:dataValidations count="1">
    <x:dataValidation type="list" sqref="J5:J16">
      <x:formula1>"HOLD,PASS,REJECT"</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18" hidden="0" customWidth="1"/>
    <x:col min="4" max="4" width="18" hidden="0" customWidth="1"/>
    <x:col min="5" max="5" width="15" hidden="0" customWidth="1"/>
    <x:col min="6" max="6" width="15" hidden="0" customWidth="1"/>
    <x:col min="7" max="7" width="15" hidden="0" customWidth="1"/>
    <x:col min="8" max="8" width="15" hidden="0" customWidth="1"/>
    <x:col min="9" max="9" width="24" hidden="0" customWidth="1"/>
    <x:col min="10" max="10" width="24" hidden="0" customWidth="1"/>
    <x:col min="11" max="11" width="24" hidden="0" customWidth="1"/>
  </x:cols>
  <x:sheetData>
    <x:row r="1" ht="32" customHeight="1">
      <x:c r="A1" s="3" t="str">
        <x:v>CURING EXPOSURE LOG</x:v>
      </x:c>
      <x:c r="B1" s="3"/>
      <x:c r="C1" s="3"/>
      <x:c r="D1" s="3"/>
      <x:c r="E1" s="3"/>
      <x:c r="F1" s="3"/>
      <x:c r="G1" s="3"/>
      <x:c r="H1" s="3"/>
      <x:c r="I1" s="3"/>
      <x:c r="J1" s="3"/>
      <x:c r="K1" s="3"/>
    </x:row>
    <x:row r="2" ht="32" customHeight="1">
      <x:c r="A2" s="6" t="str">
        <x:v>Define the approved curing method for the product, then record actual exposure and interruptions.</x:v>
      </x:c>
      <x:c r="B2" s="6"/>
      <x:c r="C2" s="6"/>
      <x:c r="D2" s="6"/>
      <x:c r="E2" s="6"/>
      <x:c r="F2" s="6"/>
      <x:c r="G2" s="6"/>
      <x:c r="H2" s="6"/>
      <x:c r="I2" s="6"/>
      <x:c r="J2" s="6"/>
      <x:c r="K2" s="6"/>
    </x:row>
    <x:row r="4" ht="29" customHeight="1">
      <x:c r="A4" s="11" t="str">
        <x:v>Date</x:v>
      </x:c>
      <x:c r="B4" s="11" t="str">
        <x:v>Lot / batch</x:v>
      </x:c>
      <x:c r="C4" s="11" t="str">
        <x:v>Product</x:v>
      </x:c>
      <x:c r="D4" s="11" t="str">
        <x:v>Curing method</x:v>
      </x:c>
      <x:c r="E4" s="11" t="str">
        <x:v>Start time</x:v>
      </x:c>
      <x:c r="F4" s="11" t="str">
        <x:v>End / check time</x:v>
      </x:c>
      <x:c r="G4" s="11" t="str">
        <x:v>Temperature °C</x:v>
      </x:c>
      <x:c r="H4" s="11" t="str">
        <x:v>RH % / moisture check</x:v>
      </x:c>
      <x:c r="I4" s="11" t="str">
        <x:v>Interruption / exposure</x:v>
      </x:c>
      <x:c r="J4" s="11" t="str">
        <x:v>Corrective action</x:v>
      </x:c>
      <x:c r="K4" s="11" t="str">
        <x:v>Release ref / initials</x:v>
      </x:c>
    </x:row>
    <x:row r="5" ht="29" customHeight="1">
      <x:c r="A5" s="80" t="str"/>
      <x:c r="B5" s="75" t="str"/>
      <x:c r="C5" s="75" t="str"/>
      <x:c r="D5" s="75" t="str"/>
      <x:c r="E5" s="75" t="str"/>
      <x:c r="F5" s="75" t="str"/>
      <x:c r="G5" s="75" t="str"/>
      <x:c r="H5" s="75" t="str"/>
      <x:c r="I5" s="75" t="str"/>
      <x:c r="J5" s="75" t="str"/>
      <x:c r="K5" s="75" t="str"/>
    </x:row>
    <x:row r="6" ht="29" customHeight="1">
      <x:c r="A6" s="80" t="str"/>
      <x:c r="B6" s="75" t="str"/>
      <x:c r="C6" s="75" t="str"/>
      <x:c r="D6" s="75" t="str"/>
      <x:c r="E6" s="75" t="str"/>
      <x:c r="F6" s="75" t="str"/>
      <x:c r="G6" s="75" t="str"/>
      <x:c r="H6" s="75" t="str"/>
      <x:c r="I6" s="75" t="str"/>
      <x:c r="J6" s="75" t="str"/>
      <x:c r="K6" s="75" t="str"/>
    </x:row>
    <x:row r="7" ht="29" customHeight="1">
      <x:c r="A7" s="80" t="str"/>
      <x:c r="B7" s="75" t="str"/>
      <x:c r="C7" s="75" t="str"/>
      <x:c r="D7" s="75" t="str"/>
      <x:c r="E7" s="75" t="str"/>
      <x:c r="F7" s="75" t="str"/>
      <x:c r="G7" s="75" t="str"/>
      <x:c r="H7" s="75" t="str"/>
      <x:c r="I7" s="75" t="str"/>
      <x:c r="J7" s="75" t="str"/>
      <x:c r="K7" s="75" t="str"/>
    </x:row>
    <x:row r="8" ht="29" customHeight="1">
      <x:c r="A8" s="80" t="str"/>
      <x:c r="B8" s="75" t="str"/>
      <x:c r="C8" s="75" t="str"/>
      <x:c r="D8" s="75" t="str"/>
      <x:c r="E8" s="75" t="str"/>
      <x:c r="F8" s="75" t="str"/>
      <x:c r="G8" s="75" t="str"/>
      <x:c r="H8" s="75" t="str"/>
      <x:c r="I8" s="75" t="str"/>
      <x:c r="J8" s="75" t="str"/>
      <x:c r="K8" s="75" t="str"/>
    </x:row>
    <x:row r="9" ht="29" customHeight="1">
      <x:c r="A9" s="80" t="str"/>
      <x:c r="B9" s="75" t="str"/>
      <x:c r="C9" s="75" t="str"/>
      <x:c r="D9" s="75" t="str"/>
      <x:c r="E9" s="75" t="str"/>
      <x:c r="F9" s="75" t="str"/>
      <x:c r="G9" s="75" t="str"/>
      <x:c r="H9" s="75" t="str"/>
      <x:c r="I9" s="75" t="str"/>
      <x:c r="J9" s="75" t="str"/>
      <x:c r="K9" s="75" t="str"/>
    </x:row>
    <x:row r="10" ht="29" customHeight="1">
      <x:c r="A10" s="80" t="str"/>
      <x:c r="B10" s="75" t="str"/>
      <x:c r="C10" s="75" t="str"/>
      <x:c r="D10" s="75" t="str"/>
      <x:c r="E10" s="75" t="str"/>
      <x:c r="F10" s="75" t="str"/>
      <x:c r="G10" s="75" t="str"/>
      <x:c r="H10" s="75" t="str"/>
      <x:c r="I10" s="75" t="str"/>
      <x:c r="J10" s="75" t="str"/>
      <x:c r="K10" s="75" t="str"/>
    </x:row>
    <x:row r="11" ht="29" customHeight="1">
      <x:c r="A11" s="80" t="str"/>
      <x:c r="B11" s="75" t="str"/>
      <x:c r="C11" s="75" t="str"/>
      <x:c r="D11" s="75" t="str"/>
      <x:c r="E11" s="75" t="str"/>
      <x:c r="F11" s="75" t="str"/>
      <x:c r="G11" s="75" t="str"/>
      <x:c r="H11" s="75" t="str"/>
      <x:c r="I11" s="75" t="str"/>
      <x:c r="J11" s="75" t="str"/>
      <x:c r="K11" s="75" t="str"/>
    </x:row>
    <x:row r="12" ht="29" customHeight="1">
      <x:c r="A12" s="80" t="str"/>
      <x:c r="B12" s="75" t="str"/>
      <x:c r="C12" s="75" t="str"/>
      <x:c r="D12" s="75" t="str"/>
      <x:c r="E12" s="75" t="str"/>
      <x:c r="F12" s="75" t="str"/>
      <x:c r="G12" s="75" t="str"/>
      <x:c r="H12" s="75" t="str"/>
      <x:c r="I12" s="75" t="str"/>
      <x:c r="J12" s="75" t="str"/>
      <x:c r="K12" s="75" t="str"/>
    </x:row>
    <x:row r="13" ht="29" customHeight="1">
      <x:c r="A13" s="80" t="str"/>
      <x:c r="B13" s="75" t="str"/>
      <x:c r="C13" s="75" t="str"/>
      <x:c r="D13" s="75" t="str"/>
      <x:c r="E13" s="75" t="str"/>
      <x:c r="F13" s="75" t="str"/>
      <x:c r="G13" s="75" t="str"/>
      <x:c r="H13" s="75" t="str"/>
      <x:c r="I13" s="75" t="str"/>
      <x:c r="J13" s="75" t="str"/>
      <x:c r="K13" s="75" t="str"/>
    </x:row>
    <x:row r="14" ht="29" customHeight="1">
      <x:c r="A14" s="80" t="str"/>
      <x:c r="B14" s="75" t="str"/>
      <x:c r="C14" s="75" t="str"/>
      <x:c r="D14" s="75" t="str"/>
      <x:c r="E14" s="75" t="str"/>
      <x:c r="F14" s="75" t="str"/>
      <x:c r="G14" s="75" t="str"/>
      <x:c r="H14" s="75" t="str"/>
      <x:c r="I14" s="75" t="str"/>
      <x:c r="J14" s="75" t="str"/>
      <x:c r="K14" s="75" t="str"/>
    </x:row>
    <x:row r="15" ht="29" customHeight="1">
      <x:c r="A15" s="80" t="str"/>
      <x:c r="B15" s="75" t="str"/>
      <x:c r="C15" s="75" t="str"/>
      <x:c r="D15" s="75" t="str"/>
      <x:c r="E15" s="75" t="str"/>
      <x:c r="F15" s="75" t="str"/>
      <x:c r="G15" s="75" t="str"/>
      <x:c r="H15" s="75" t="str"/>
      <x:c r="I15" s="75" t="str"/>
      <x:c r="J15" s="75" t="str"/>
      <x:c r="K15" s="75" t="str"/>
    </x:row>
    <x:row r="16" ht="29" customHeight="1">
      <x:c r="A16" s="80" t="str"/>
      <x:c r="B16" s="75" t="str"/>
      <x:c r="C16" s="75" t="str"/>
      <x:c r="D16" s="75" t="str"/>
      <x:c r="E16" s="75" t="str"/>
      <x:c r="F16" s="75" t="str"/>
      <x:c r="G16" s="75" t="str"/>
      <x:c r="H16" s="75" t="str"/>
      <x:c r="I16" s="75" t="str"/>
      <x:c r="J16" s="75" t="str"/>
      <x:c r="K16" s="75" t="str"/>
    </x:row>
  </x:sheetData>
  <x:mergeCells>
    <x:mergeCell ref="A1:K1"/>
    <x:mergeCell ref="A2:K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1" hidden="0" customWidth="1"/>
    <x:col min="3" max="3" width="11" hidden="0" customWidth="1"/>
    <x:col min="4" max="4" width="11" hidden="0" customWidth="1"/>
    <x:col min="5" max="5" width="17" hidden="0" customWidth="1"/>
    <x:col min="6" max="6" width="17" hidden="0" customWidth="1"/>
    <x:col min="7" max="7" width="23" hidden="0" customWidth="1"/>
    <x:col min="8" max="8" width="23" hidden="0" customWidth="1"/>
    <x:col min="9" max="9" width="23" hidden="0" customWidth="1"/>
    <x:col min="10" max="10" width="23" hidden="0" customWidth="1"/>
    <x:col min="11" max="11" width="23" hidden="0" customWidth="1"/>
  </x:cols>
  <x:sheetData>
    <x:row r="1" ht="32" customHeight="1">
      <x:c r="A1" s="3" t="str">
        <x:v>DOWNTIME &amp; CORRECTIVE-ACTION LOG</x:v>
      </x:c>
      <x:c r="B1" s="3"/>
      <x:c r="C1" s="3"/>
      <x:c r="D1" s="3"/>
      <x:c r="E1" s="3"/>
      <x:c r="F1" s="3"/>
      <x:c r="G1" s="3"/>
      <x:c r="H1" s="3"/>
      <x:c r="I1" s="3"/>
      <x:c r="J1" s="3"/>
      <x:c r="K1" s="3"/>
    </x:row>
    <x:row r="2" ht="32" customHeight="1">
      <x:c r="A2" s="6" t="str">
        <x:v>Use consistent loss codes so recurring constraints can be ranked and removed.</x:v>
      </x:c>
      <x:c r="B2" s="6"/>
      <x:c r="C2" s="6"/>
      <x:c r="D2" s="6"/>
      <x:c r="E2" s="6"/>
      <x:c r="F2" s="6"/>
      <x:c r="G2" s="6"/>
      <x:c r="H2" s="6"/>
      <x:c r="I2" s="6"/>
      <x:c r="J2" s="6"/>
      <x:c r="K2" s="6"/>
    </x:row>
    <x:row r="4" ht="29" customHeight="1">
      <x:c r="A4" s="11" t="str">
        <x:v>Date</x:v>
      </x:c>
      <x:c r="B4" s="11" t="str">
        <x:v>Start</x:v>
      </x:c>
      <x:c r="C4" s="11" t="str">
        <x:v>End</x:v>
      </x:c>
      <x:c r="D4" s="11" t="str">
        <x:v>Minutes</x:v>
      </x:c>
      <x:c r="E4" s="11" t="str">
        <x:v>Line / asset</x:v>
      </x:c>
      <x:c r="F4" s="11" t="str">
        <x:v>Loss code</x:v>
      </x:c>
      <x:c r="G4" s="11" t="str">
        <x:v>Observed condition</x:v>
      </x:c>
      <x:c r="H4" s="11" t="str">
        <x:v>Immediate action</x:v>
      </x:c>
      <x:c r="I4" s="11" t="str">
        <x:v>Root cause ref</x:v>
      </x:c>
      <x:c r="J4" s="11" t="str">
        <x:v>Owner / due date</x:v>
      </x:c>
      <x:c r="K4" s="11" t="str">
        <x:v>Verified close</x:v>
      </x:c>
    </x:row>
    <x:row r="5" ht="29" customHeight="1">
      <x:c r="A5" s="80" t="str"/>
      <x:c r="B5" s="75" t="str"/>
      <x:c r="C5" s="75" t="str"/>
      <x:c r="D5" s="13" t="str">
        <x:f>IF(OR(B5="",C5=""),"",(C5-B5)*1440)</x:f>
      </x:c>
      <x:c r="E5" s="75" t="str"/>
      <x:c r="F5" s="75" t="str"/>
      <x:c r="G5" s="75" t="str"/>
      <x:c r="H5" s="75" t="str"/>
      <x:c r="I5" s="75" t="str"/>
      <x:c r="J5" s="75" t="str"/>
      <x:c r="K5" s="75" t="str"/>
    </x:row>
    <x:row r="6" ht="29" customHeight="1">
      <x:c r="A6" s="80" t="str"/>
      <x:c r="B6" s="75" t="str"/>
      <x:c r="C6" s="75" t="str"/>
      <x:c r="D6" s="13" t="str">
        <x:f>IF(OR(B6="",C6=""),"",(C6-B6)*1440)</x:f>
      </x:c>
      <x:c r="E6" s="75" t="str"/>
      <x:c r="F6" s="75" t="str"/>
      <x:c r="G6" s="75" t="str"/>
      <x:c r="H6" s="75" t="str"/>
      <x:c r="I6" s="75" t="str"/>
      <x:c r="J6" s="75" t="str"/>
      <x:c r="K6" s="75" t="str"/>
    </x:row>
    <x:row r="7" ht="29" customHeight="1">
      <x:c r="A7" s="80" t="str"/>
      <x:c r="B7" s="75" t="str"/>
      <x:c r="C7" s="75" t="str"/>
      <x:c r="D7" s="13" t="str">
        <x:f>IF(OR(B7="",C7=""),"",(C7-B7)*1440)</x:f>
      </x:c>
      <x:c r="E7" s="75" t="str"/>
      <x:c r="F7" s="75" t="str"/>
      <x:c r="G7" s="75" t="str"/>
      <x:c r="H7" s="75" t="str"/>
      <x:c r="I7" s="75" t="str"/>
      <x:c r="J7" s="75" t="str"/>
      <x:c r="K7" s="75" t="str"/>
    </x:row>
    <x:row r="8" ht="29" customHeight="1">
      <x:c r="A8" s="80" t="str"/>
      <x:c r="B8" s="75" t="str"/>
      <x:c r="C8" s="75" t="str"/>
      <x:c r="D8" s="13" t="str">
        <x:f>IF(OR(B8="",C8=""),"",(C8-B8)*1440)</x:f>
      </x:c>
      <x:c r="E8" s="75" t="str"/>
      <x:c r="F8" s="75" t="str"/>
      <x:c r="G8" s="75" t="str"/>
      <x:c r="H8" s="75" t="str"/>
      <x:c r="I8" s="75" t="str"/>
      <x:c r="J8" s="75" t="str"/>
      <x:c r="K8" s="75" t="str"/>
    </x:row>
    <x:row r="9" ht="29" customHeight="1">
      <x:c r="A9" s="80" t="str"/>
      <x:c r="B9" s="75" t="str"/>
      <x:c r="C9" s="75" t="str"/>
      <x:c r="D9" s="13" t="str">
        <x:f>IF(OR(B9="",C9=""),"",(C9-B9)*1440)</x:f>
      </x:c>
      <x:c r="E9" s="75" t="str"/>
      <x:c r="F9" s="75" t="str"/>
      <x:c r="G9" s="75" t="str"/>
      <x:c r="H9" s="75" t="str"/>
      <x:c r="I9" s="75" t="str"/>
      <x:c r="J9" s="75" t="str"/>
      <x:c r="K9" s="75" t="str"/>
    </x:row>
    <x:row r="10" ht="29" customHeight="1">
      <x:c r="A10" s="80" t="str"/>
      <x:c r="B10" s="75" t="str"/>
      <x:c r="C10" s="75" t="str"/>
      <x:c r="D10" s="13" t="str">
        <x:f>IF(OR(B10="",C10=""),"",(C10-B10)*1440)</x:f>
      </x:c>
      <x:c r="E10" s="75" t="str"/>
      <x:c r="F10" s="75" t="str"/>
      <x:c r="G10" s="75" t="str"/>
      <x:c r="H10" s="75" t="str"/>
      <x:c r="I10" s="75" t="str"/>
      <x:c r="J10" s="75" t="str"/>
      <x:c r="K10" s="75" t="str"/>
    </x:row>
    <x:row r="11" ht="29" customHeight="1">
      <x:c r="A11" s="80" t="str"/>
      <x:c r="B11" s="75" t="str"/>
      <x:c r="C11" s="75" t="str"/>
      <x:c r="D11" s="13" t="str">
        <x:f>IF(OR(B11="",C11=""),"",(C11-B11)*1440)</x:f>
      </x:c>
      <x:c r="E11" s="75" t="str"/>
      <x:c r="F11" s="75" t="str"/>
      <x:c r="G11" s="75" t="str"/>
      <x:c r="H11" s="75" t="str"/>
      <x:c r="I11" s="75" t="str"/>
      <x:c r="J11" s="75" t="str"/>
      <x:c r="K11" s="75" t="str"/>
    </x:row>
    <x:row r="12" ht="29" customHeight="1">
      <x:c r="A12" s="80" t="str"/>
      <x:c r="B12" s="75" t="str"/>
      <x:c r="C12" s="75" t="str"/>
      <x:c r="D12" s="13" t="str">
        <x:f>IF(OR(B12="",C12=""),"",(C12-B12)*1440)</x:f>
      </x:c>
      <x:c r="E12" s="75" t="str"/>
      <x:c r="F12" s="75" t="str"/>
      <x:c r="G12" s="75" t="str"/>
      <x:c r="H12" s="75" t="str"/>
      <x:c r="I12" s="75" t="str"/>
      <x:c r="J12" s="75" t="str"/>
      <x:c r="K12" s="75" t="str"/>
    </x:row>
    <x:row r="13" ht="29" customHeight="1">
      <x:c r="A13" s="80" t="str"/>
      <x:c r="B13" s="75" t="str"/>
      <x:c r="C13" s="75" t="str"/>
      <x:c r="D13" s="13" t="str">
        <x:f>IF(OR(B13="",C13=""),"",(C13-B13)*1440)</x:f>
      </x:c>
      <x:c r="E13" s="75" t="str"/>
      <x:c r="F13" s="75" t="str"/>
      <x:c r="G13" s="75" t="str"/>
      <x:c r="H13" s="75" t="str"/>
      <x:c r="I13" s="75" t="str"/>
      <x:c r="J13" s="75" t="str"/>
      <x:c r="K13" s="75" t="str"/>
    </x:row>
    <x:row r="14" ht="29" customHeight="1">
      <x:c r="A14" s="80" t="str"/>
      <x:c r="B14" s="75" t="str"/>
      <x:c r="C14" s="75" t="str"/>
      <x:c r="D14" s="13" t="str">
        <x:f>IF(OR(B14="",C14=""),"",(C14-B14)*1440)</x:f>
      </x:c>
      <x:c r="E14" s="75" t="str"/>
      <x:c r="F14" s="75" t="str"/>
      <x:c r="G14" s="75" t="str"/>
      <x:c r="H14" s="75" t="str"/>
      <x:c r="I14" s="75" t="str"/>
      <x:c r="J14" s="75" t="str"/>
      <x:c r="K14" s="75" t="str"/>
    </x:row>
    <x:row r="15" ht="29" customHeight="1">
      <x:c r="A15" s="80" t="str"/>
      <x:c r="B15" s="75" t="str"/>
      <x:c r="C15" s="75" t="str"/>
      <x:c r="D15" s="13" t="str">
        <x:f>IF(OR(B15="",C15=""),"",(C15-B15)*1440)</x:f>
      </x:c>
      <x:c r="E15" s="75" t="str"/>
      <x:c r="F15" s="75" t="str"/>
      <x:c r="G15" s="75" t="str"/>
      <x:c r="H15" s="75" t="str"/>
      <x:c r="I15" s="75" t="str"/>
      <x:c r="J15" s="75" t="str"/>
      <x:c r="K15" s="75" t="str"/>
    </x:row>
    <x:row r="16" ht="29" customHeight="1">
      <x:c r="A16" s="80" t="str"/>
      <x:c r="B16" s="75" t="str"/>
      <x:c r="C16" s="75" t="str"/>
      <x:c r="D16" s="13" t="str">
        <x:f>IF(OR(B16="",C16=""),"",(C16-B16)*1440)</x:f>
      </x:c>
      <x:c r="E16" s="75" t="str"/>
      <x:c r="F16" s="75" t="str"/>
      <x:c r="G16" s="75" t="str"/>
      <x:c r="H16" s="75" t="str"/>
      <x:c r="I16" s="75" t="str"/>
      <x:c r="J16" s="75" t="str"/>
      <x:c r="K16" s="75" t="str"/>
    </x:row>
  </x:sheetData>
  <x:mergeCells>
    <x:mergeCell ref="A1:K1"/>
    <x:mergeCell ref="A2:K2"/>
  </x:mergeCells>
  <x:dataValidations count="1">
    <x:dataValidation type="list" sqref="F5:F16">
      <x:formula1>"BREAKDOWN,CHANGEOVER,MATERIAL,POWER,QUALITY,LABOUR,WAITING,PLANNED"</x:formula1>
    </x:dataValidation>
  </x:dataValidations>
  <x:pageMargins left="0.7" right="0.7" top="0.75" bottom="0.75" header="0.3" footer="0.3"/>
</x:worksheet>
</file>